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аблица" sheetId="1" state="visible" r:id="rId3"/>
    <sheet name="Диаграмма" sheetId="2" state="visible" r:id="rId4"/>
    <sheet name="Гистограмма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<sst xmlns="http://schemas.openxmlformats.org/spreadsheetml/2006/main" count="42" uniqueCount="26">
  <si>
    <t xml:space="preserve"> Фамилия Имя Отчество</t>
  </si>
  <si>
    <t xml:space="preserve">Город  рождения</t>
  </si>
  <si>
    <t xml:space="preserve">Дата  рождения</t>
  </si>
  <si>
    <t xml:space="preserve">Оценки по курсу</t>
  </si>
  <si>
    <t xml:space="preserve">Возраст  студента</t>
  </si>
  <si>
    <t xml:space="preserve">Средний  балл</t>
  </si>
  <si>
    <t xml:space="preserve">Информатика</t>
  </si>
  <si>
    <t xml:space="preserve">Линейная алгебра</t>
  </si>
  <si>
    <t xml:space="preserve">Культурология</t>
  </si>
  <si>
    <t xml:space="preserve">Психология</t>
  </si>
  <si>
    <t xml:space="preserve">Иванов Иван Иванович</t>
  </si>
  <si>
    <t xml:space="preserve">Санкт-Петербург</t>
  </si>
  <si>
    <t xml:space="preserve">Лапушкин Валерий Фёдорович</t>
  </si>
  <si>
    <t xml:space="preserve">Калиточкин Михаил Сергеевич</t>
  </si>
  <si>
    <t xml:space="preserve">Мурманск</t>
  </si>
  <si>
    <t xml:space="preserve">н/я</t>
  </si>
  <si>
    <t xml:space="preserve">Зинаев Дмитрий Алексеевич</t>
  </si>
  <si>
    <t xml:space="preserve">Архангельск</t>
  </si>
  <si>
    <t xml:space="preserve">Валюшин Роман Капитонович</t>
  </si>
  <si>
    <t xml:space="preserve">Калиниград</t>
  </si>
  <si>
    <t xml:space="preserve">Завитушкин Владимир Ильич</t>
  </si>
  <si>
    <t xml:space="preserve">Оценка</t>
  </si>
  <si>
    <t xml:space="preserve">Кол-во человек</t>
  </si>
  <si>
    <t xml:space="preserve">4-5</t>
  </si>
  <si>
    <t xml:space="preserve">&lt;4</t>
  </si>
  <si>
    <t xml:space="preserve">Средние баллы по предметам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</si>
</sst>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8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4"/>
      <color theme="1"/>
      <name val="Times New Roman"/>
      <family val="1"/>
      <charset val="1"/>
    </font>
    <font>
      <b val="true"/>
      <sz val="16"/>
      <color theme="1"/>
      <name val="Courier New"/>
      <family val="3"/>
      <charset val="1"/>
    </font>
    <font>
      <sz val="13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dotted"/>
      <right style="dotted"/>
      <top style="dotted"/>
      <bottom style="dott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</a:rPr>
              <a:t>Средний балл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Диаграмма!$B$1</c:f>
              <c:strCache>
                <c:ptCount val="1"/>
                <c:pt idx="0">
                  <c:v>Кол-во человек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Диаграмма!$A$2:$A$4</c:f>
              <c:strCache>
                <c:ptCount val="3"/>
                <c:pt idx="0">
                  <c:v>5</c:v>
                </c:pt>
                <c:pt idx="1">
                  <c:v>4-5</c:v>
                </c:pt>
                <c:pt idx="2">
                  <c:v>&lt;4</c:v>
                </c:pt>
              </c:strCache>
            </c:strRef>
          </c:cat>
          <c:val>
            <c:numRef>
              <c:f>Диаграмма!$B$2:$B$4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</a:rPr>
              <a:t>Средние баллы по предметам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Гистограмма!$B$1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Гистограмма!$A$2:$A$5</c:f>
              <c:strCache>
                <c:ptCount val="4"/>
                <c:pt idx="0">
                  <c:v>Информатика</c:v>
                </c:pt>
                <c:pt idx="1">
                  <c:v>Линейная алгебра</c:v>
                </c:pt>
                <c:pt idx="2">
                  <c:v>Культурология</c:v>
                </c:pt>
                <c:pt idx="3">
                  <c:v>Психология</c:v>
                </c:pt>
              </c:strCache>
            </c:strRef>
          </c:cat>
          <c:val>
            <c:numRef>
              <c:f>Гистограмма!$B$2:$B$5</c:f>
              <c:numCache>
                <c:formatCode>General</c:formatCode>
                <c:ptCount val="4"/>
                <c:pt idx="0">
                  <c:v>4.2</c:v>
                </c:pt>
                <c:pt idx="1">
                  <c:v>4</c:v>
                </c:pt>
                <c:pt idx="2">
                  <c:v>4</c:v>
                </c:pt>
                <c:pt idx="3">
                  <c:v>4.33333333333333</c:v>
                </c:pt>
              </c:numCache>
            </c:numRef>
          </c:val>
        </c:ser>
        <c:gapWidth val="100"/>
        <c:overlap val="0"/>
        <c:axId val="15387232"/>
        <c:axId val="72412526"/>
      </c:barChart>
      <c:catAx>
        <c:axId val="153872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2412526"/>
        <c:crosses val="autoZero"/>
        <c:auto val="1"/>
        <c:lblAlgn val="ctr"/>
        <c:lblOffset val="100"/>
        <c:noMultiLvlLbl val="0"/>
      </c:catAx>
      <c:valAx>
        <c:axId val="724125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538723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6</xdr:col>
      <xdr:colOff>65160</xdr:colOff>
      <xdr:row>15</xdr:row>
      <xdr:rowOff>172800</xdr:rowOff>
    </xdr:to>
    <xdr:graphicFrame>
      <xdr:nvGraphicFramePr>
        <xdr:cNvPr id="1" name=""/>
        <xdr:cNvGraphicFramePr/>
      </xdr:nvGraphicFramePr>
      <xdr:xfrm>
        <a:off x="0" y="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7</xdr:col>
      <xdr:colOff>6120</xdr:colOff>
      <xdr:row>15</xdr:row>
      <xdr:rowOff>113040</xdr:rowOff>
    </xdr:to>
    <xdr:graphicFrame>
      <xdr:nvGraphicFramePr>
        <xdr:cNvPr id="2" name="Средние баллы по предметам"/>
        <xdr:cNvGraphicFramePr/>
      </xdr:nvGraphicFramePr>
      <xdr:xfrm>
        <a:off x="0" y="0"/>
        <a:ext cx="575856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2" activeCellId="0" sqref="H2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50.75"/>
    <col collapsed="false" customWidth="true" hidden="false" outlineLevel="0" max="2" min="2" style="1" width="28.3"/>
    <col collapsed="false" customWidth="true" hidden="false" outlineLevel="0" max="3" min="3" style="1" width="15.18"/>
    <col collapsed="false" customWidth="true" hidden="false" outlineLevel="0" max="4" min="4" style="1" width="15.51"/>
    <col collapsed="false" customWidth="true" hidden="false" outlineLevel="0" max="5" min="5" style="1" width="11.27"/>
    <col collapsed="false" customWidth="true" hidden="false" outlineLevel="0" max="6" min="6" style="1" width="17.02"/>
    <col collapsed="false" customWidth="true" hidden="false" outlineLevel="0" max="7" min="7" style="1" width="15.18"/>
    <col collapsed="false" customWidth="true" hidden="false" outlineLevel="0" max="8" min="8" style="1" width="11.05"/>
    <col collapsed="false" customWidth="true" hidden="false" outlineLevel="0" max="9" min="9" style="1" width="9.8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/>
      <c r="F1" s="3"/>
      <c r="G1" s="3"/>
      <c r="H1" s="2" t="s">
        <v>4</v>
      </c>
      <c r="I1" s="2" t="s">
        <v>5</v>
      </c>
      <c r="J1" s="4"/>
    </row>
    <row r="2" customFormat="false" ht="15" hidden="false" customHeight="false" outlineLevel="0" collapsed="false">
      <c r="A2" s="2"/>
      <c r="B2" s="2"/>
      <c r="C2" s="2"/>
      <c r="D2" s="3"/>
      <c r="E2" s="3"/>
      <c r="F2" s="3"/>
      <c r="G2" s="3"/>
      <c r="H2" s="2"/>
      <c r="I2" s="2"/>
      <c r="J2" s="4"/>
      <c r="K2" s="1" t="n">
        <v>2.4</v>
      </c>
    </row>
    <row r="3" customFormat="false" ht="15" hidden="false" customHeight="false" outlineLevel="0" collapsed="false">
      <c r="A3" s="2"/>
      <c r="B3" s="2"/>
      <c r="C3" s="2"/>
      <c r="D3" s="2"/>
      <c r="E3" s="3"/>
      <c r="F3" s="3"/>
      <c r="G3" s="3"/>
      <c r="H3" s="2"/>
      <c r="I3" s="2"/>
      <c r="J3" s="4"/>
    </row>
    <row r="4" customFormat="false" ht="15" hidden="false" customHeight="true" outlineLevel="0" collapsed="false">
      <c r="A4" s="3"/>
      <c r="B4" s="3"/>
      <c r="C4" s="3"/>
      <c r="D4" s="3" t="s">
        <v>6</v>
      </c>
      <c r="E4" s="2" t="s">
        <v>7</v>
      </c>
      <c r="F4" s="3" t="s">
        <v>8</v>
      </c>
      <c r="G4" s="3" t="s">
        <v>9</v>
      </c>
      <c r="H4" s="3"/>
      <c r="I4" s="3"/>
      <c r="J4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4"/>
    </row>
    <row r="6" customFormat="false" ht="19.7" hidden="false" customHeight="false" outlineLevel="0" collapsed="false">
      <c r="A6" s="5" t="s">
        <v>10</v>
      </c>
      <c r="B6" s="5" t="s">
        <v>11</v>
      </c>
      <c r="C6" s="6" t="n">
        <v>39345</v>
      </c>
      <c r="D6" s="5" t="n">
        <v>5</v>
      </c>
      <c r="E6" s="5" t="n">
        <v>3</v>
      </c>
      <c r="F6" s="5" t="n">
        <v>4</v>
      </c>
      <c r="G6" s="5" t="n">
        <v>4</v>
      </c>
      <c r="H6" s="5" t="n">
        <f aca="true">(YEAR(NOW())-YEAR(C6))</f>
        <v>19</v>
      </c>
      <c r="I6" s="5" t="n">
        <f aca="false">AVERAGE(D6:G6)</f>
        <v>4</v>
      </c>
      <c r="J6" s="5" t="n">
        <f aca="false">I6*$K$2</f>
        <v>9.6</v>
      </c>
    </row>
    <row r="7" customFormat="false" ht="19.7" hidden="false" customHeight="false" outlineLevel="0" collapsed="false">
      <c r="A7" s="5" t="s">
        <v>12</v>
      </c>
      <c r="B7" s="5" t="s">
        <v>11</v>
      </c>
      <c r="C7" s="6" t="n">
        <v>38944</v>
      </c>
      <c r="D7" s="5" t="n">
        <v>4</v>
      </c>
      <c r="E7" s="5" t="n">
        <v>4</v>
      </c>
      <c r="F7" s="5" t="n">
        <v>4</v>
      </c>
      <c r="G7" s="5" t="n">
        <v>4</v>
      </c>
      <c r="H7" s="5" t="n">
        <f aca="true">(YEAR(NOW())-YEAR(C7))</f>
        <v>20</v>
      </c>
      <c r="I7" s="5" t="n">
        <f aca="false">AVERAGE(D7:G7)</f>
        <v>4</v>
      </c>
      <c r="J7" s="5" t="n">
        <f aca="false">I7*$K$2</f>
        <v>9.6</v>
      </c>
    </row>
    <row r="8" customFormat="false" ht="19.7" hidden="false" customHeight="false" outlineLevel="0" collapsed="false">
      <c r="A8" s="5" t="s">
        <v>13</v>
      </c>
      <c r="B8" s="5" t="s">
        <v>14</v>
      </c>
      <c r="C8" s="6" t="n">
        <v>38052</v>
      </c>
      <c r="D8" s="5" t="s">
        <v>15</v>
      </c>
      <c r="E8" s="5" t="n">
        <v>3</v>
      </c>
      <c r="F8" s="5" t="n">
        <v>4</v>
      </c>
      <c r="G8" s="5" t="n">
        <v>4</v>
      </c>
      <c r="H8" s="5" t="n">
        <f aca="true">(YEAR(NOW())-YEAR(C8))</f>
        <v>22</v>
      </c>
      <c r="I8" s="5" t="n">
        <f aca="false">AVERAGE(D8:G8)</f>
        <v>3.66666666666667</v>
      </c>
      <c r="J8" s="5" t="n">
        <f aca="false">I8*$K$2</f>
        <v>8.8</v>
      </c>
    </row>
    <row r="9" customFormat="false" ht="19.7" hidden="false" customHeight="false" outlineLevel="0" collapsed="false">
      <c r="A9" s="5" t="s">
        <v>16</v>
      </c>
      <c r="B9" s="5" t="s">
        <v>17</v>
      </c>
      <c r="C9" s="6" t="n">
        <v>39075</v>
      </c>
      <c r="D9" s="5" t="n">
        <v>5</v>
      </c>
      <c r="E9" s="5" t="n">
        <v>5</v>
      </c>
      <c r="F9" s="5" t="n">
        <v>5</v>
      </c>
      <c r="G9" s="5" t="n">
        <v>5</v>
      </c>
      <c r="H9" s="5" t="n">
        <f aca="true">(YEAR(NOW())-YEAR(C9))</f>
        <v>20</v>
      </c>
      <c r="I9" s="5" t="n">
        <f aca="false">AVERAGE(D9:G9)</f>
        <v>5</v>
      </c>
      <c r="J9" s="5" t="n">
        <f aca="false">I9*$K$2</f>
        <v>12</v>
      </c>
    </row>
    <row r="10" customFormat="false" ht="19.7" hidden="false" customHeight="false" outlineLevel="0" collapsed="false">
      <c r="A10" s="5" t="s">
        <v>18</v>
      </c>
      <c r="B10" s="5" t="s">
        <v>19</v>
      </c>
      <c r="C10" s="6" t="n">
        <v>39124</v>
      </c>
      <c r="D10" s="5" t="n">
        <v>3</v>
      </c>
      <c r="E10" s="5" t="s">
        <v>15</v>
      </c>
      <c r="F10" s="5" t="n">
        <v>4</v>
      </c>
      <c r="G10" s="5" t="n">
        <v>4</v>
      </c>
      <c r="H10" s="5" t="n">
        <f aca="true">(YEAR(NOW())-YEAR(C10))</f>
        <v>19</v>
      </c>
      <c r="I10" s="5" t="n">
        <f aca="false">AVERAGE(D10:G10)</f>
        <v>3.66666666666667</v>
      </c>
      <c r="J10" s="5" t="n">
        <f aca="false">I10*$K$2</f>
        <v>8.8</v>
      </c>
    </row>
    <row r="11" customFormat="false" ht="19.7" hidden="false" customHeight="false" outlineLevel="0" collapsed="false">
      <c r="A11" s="5" t="s">
        <v>20</v>
      </c>
      <c r="B11" s="5" t="s">
        <v>11</v>
      </c>
      <c r="C11" s="6" t="n">
        <v>38977</v>
      </c>
      <c r="D11" s="5" t="n">
        <v>4</v>
      </c>
      <c r="E11" s="5" t="n">
        <v>5</v>
      </c>
      <c r="F11" s="5" t="n">
        <v>3</v>
      </c>
      <c r="G11" s="5" t="n">
        <v>5</v>
      </c>
      <c r="H11" s="5" t="n">
        <f aca="true">(YEAR(NOW())-YEAR(C11))</f>
        <v>20</v>
      </c>
      <c r="I11" s="5" t="n">
        <f aca="false">AVERAGE(D11:G11)</f>
        <v>4.25</v>
      </c>
      <c r="J11" s="5" t="n">
        <f aca="false">I11*$K$2</f>
        <v>10.2</v>
      </c>
    </row>
    <row r="15" customFormat="false" ht="17.35" hidden="false" customHeight="false" outlineLevel="0" collapsed="false">
      <c r="A15" s="3" t="s">
        <v>21</v>
      </c>
      <c r="B15" s="3" t="s">
        <v>22</v>
      </c>
    </row>
    <row r="16" customFormat="false" ht="19.7" hidden="false" customHeight="false" outlineLevel="0" collapsed="false">
      <c r="A16" s="5" t="n">
        <v>5</v>
      </c>
      <c r="B16" s="5" t="n">
        <v>1</v>
      </c>
    </row>
    <row r="17" customFormat="false" ht="19.7" hidden="false" customHeight="false" outlineLevel="0" collapsed="false">
      <c r="A17" s="5" t="s">
        <v>23</v>
      </c>
      <c r="B17" s="5" t="n">
        <v>3</v>
      </c>
    </row>
    <row r="18" customFormat="false" ht="19.7" hidden="false" customHeight="false" outlineLevel="0" collapsed="false">
      <c r="A18" s="5" t="s">
        <v>24</v>
      </c>
      <c r="B18" s="5" t="n">
        <v>2</v>
      </c>
    </row>
    <row r="21" customFormat="false" ht="17.35" hidden="false" customHeight="false" outlineLevel="0" collapsed="false">
      <c r="A21" s="3" t="s">
        <v>25</v>
      </c>
      <c r="B21" s="3"/>
    </row>
    <row r="22" customFormat="false" ht="19.7" hidden="false" customHeight="false" outlineLevel="0" collapsed="false">
      <c r="A22" s="5" t="s">
        <v>6</v>
      </c>
      <c r="B22" s="5" t="n">
        <v>4.2</v>
      </c>
    </row>
    <row r="23" customFormat="false" ht="19.7" hidden="false" customHeight="false" outlineLevel="0" collapsed="false">
      <c r="A23" s="5" t="s">
        <v>7</v>
      </c>
      <c r="B23" s="5" t="n">
        <v>4</v>
      </c>
    </row>
    <row r="24" customFormat="false" ht="19.7" hidden="false" customHeight="false" outlineLevel="0" collapsed="false">
      <c r="A24" s="5" t="s">
        <v>8</v>
      </c>
      <c r="B24" s="5" t="n">
        <v>4</v>
      </c>
    </row>
    <row r="25" customFormat="false" ht="19.7" hidden="false" customHeight="false" outlineLevel="0" collapsed="false">
      <c r="A25" s="5" t="s">
        <v>9</v>
      </c>
      <c r="B25" s="5" t="n">
        <v>4.33</v>
      </c>
    </row>
  </sheetData>
  <mergeCells count="18">
    <mergeCell ref="A1:A3"/>
    <mergeCell ref="B1:B3"/>
    <mergeCell ref="C1:C3"/>
    <mergeCell ref="D1:G3"/>
    <mergeCell ref="H1:H3"/>
    <mergeCell ref="I1:I3"/>
    <mergeCell ref="J1:J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A21:B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8.75"/>
    <col collapsed="false" customWidth="true" hidden="false" outlineLevel="0" max="2" min="2" style="1" width="27.87"/>
  </cols>
  <sheetData>
    <row r="1" customFormat="false" ht="17.35" hidden="false" customHeight="false" outlineLevel="0" collapsed="false">
      <c r="A1" s="3" t="s">
        <v>21</v>
      </c>
      <c r="B1" s="3" t="s">
        <v>22</v>
      </c>
    </row>
    <row r="2" customFormat="false" ht="19.7" hidden="false" customHeight="false" outlineLevel="0" collapsed="false">
      <c r="A2" s="5" t="n">
        <v>5</v>
      </c>
      <c r="B2" s="5" t="n">
        <v>1</v>
      </c>
    </row>
    <row r="3" customFormat="false" ht="19.7" hidden="false" customHeight="false" outlineLevel="0" collapsed="false">
      <c r="A3" s="5" t="s">
        <v>23</v>
      </c>
      <c r="B3" s="5" t="n">
        <v>3</v>
      </c>
      <c r="C3" s="7"/>
    </row>
    <row r="4" customFormat="false" ht="19.7" hidden="false" customHeight="false" outlineLevel="0" collapsed="false">
      <c r="A4" s="5" t="s">
        <v>24</v>
      </c>
      <c r="B4" s="5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3" activeCellId="0" sqref="J1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0.14"/>
    <col collapsed="false" customWidth="true" hidden="false" outlineLevel="0" max="2" min="2" style="1" width="8.76"/>
  </cols>
  <sheetData>
    <row r="1" customFormat="false" ht="17.35" hidden="false" customHeight="false" outlineLevel="0" collapsed="false">
      <c r="A1" s="3" t="s">
        <v>25</v>
      </c>
      <c r="B1" s="3"/>
    </row>
    <row r="2" customFormat="false" ht="19.7" hidden="false" customHeight="false" outlineLevel="0" collapsed="false">
      <c r="A2" s="5" t="s">
        <v>6</v>
      </c>
      <c r="B2" s="5" t="n">
        <f aca="false">SUM(Таблица!D6:D11)/5</f>
        <v>4.2</v>
      </c>
    </row>
    <row r="3" customFormat="false" ht="19.7" hidden="false" customHeight="false" outlineLevel="0" collapsed="false">
      <c r="A3" s="5" t="s">
        <v>7</v>
      </c>
      <c r="B3" s="5" t="n">
        <f aca="false">SUM(Таблица!E6:E11)/5</f>
        <v>4</v>
      </c>
    </row>
    <row r="4" customFormat="false" ht="19.7" hidden="false" customHeight="false" outlineLevel="0" collapsed="false">
      <c r="A4" s="5" t="s">
        <v>8</v>
      </c>
      <c r="B4" s="5" t="n">
        <f aca="false">SUM(Таблица!F6:F11)/6</f>
        <v>4</v>
      </c>
    </row>
    <row r="5" customFormat="false" ht="19.7" hidden="false" customHeight="false" outlineLevel="0" collapsed="false">
      <c r="A5" s="5" t="s">
        <v>9</v>
      </c>
      <c r="B5" s="5" t="n">
        <f aca="false">SUM(Таблица!G6:G11)/6</f>
        <v>4.33333333333333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LibreOffice/25.8.7.1$Windows_X86_64 LibreOffice_project/39c3b7ac021cfb9f4ca681457ad36828f90e2ce7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1</dc:creator>
  <dc:description/>
  <dc:language>ru-RU</dc:language>
  <cp:lastModifiedBy/>
  <dcterms:modified xsi:type="dcterms:W3CDTF">2026-10-11T19:48:35Z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